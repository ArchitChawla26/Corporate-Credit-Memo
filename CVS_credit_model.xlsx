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sz val="9"/>
    </font>
    <font>
      <b val="1"/>
      <color rgb="00FFFFFF"/>
    </font>
    <font/>
    <font>
      <b val="1"/>
    </font>
    <font>
      <b val="1"/>
      <color rgb="001F3864"/>
      <sz val="14"/>
    </font>
    <font>
      <b val="1"/>
      <color rgb="001F6F43"/>
      <sz val="11"/>
    </font>
    <font>
      <b val="1"/>
      <color rgb="001F3864"/>
    </font>
    <font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9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CORPORATE CREDIT MEMO — CVS Health Corporation (NYSE: CVS)</t>
        </is>
      </c>
    </row>
    <row r="2">
      <c r="A2" s="2" t="inlineStr">
        <is>
          <t>Prepared by: Archit Chawla  |  Date: October 20, 2026  |  Independent research project — not investment advice and not a credit rating.</t>
        </is>
      </c>
    </row>
    <row r="4">
      <c r="A4" s="3" t="inlineStr">
        <is>
          <t>RECOMMENDATION: APPROVE — maintain investment-grade senior unsecured exposure (conditions in memo)</t>
        </is>
      </c>
    </row>
    <row r="5">
      <c r="A5" s="4" t="inlineStr">
        <is>
          <t>Shadow rating: BBB, stable outlook (agency ratings for reference: Moody's Baa3 stable / S&amp;P BBB / Fitch BBB negative)</t>
        </is>
      </c>
    </row>
    <row r="7">
      <c r="A7" s="5" t="inlineStr">
        <is>
          <t>Headline ratios (live-linked to Ratios sheet)</t>
        </is>
      </c>
    </row>
    <row r="8">
      <c r="A8" s="6" t="inlineStr"/>
      <c r="B8" s="6" t="inlineStr">
        <is>
          <t>FY2023</t>
        </is>
      </c>
      <c r="C8" s="6" t="inlineStr">
        <is>
          <t>FY2024</t>
        </is>
      </c>
      <c r="D8" s="6" t="inlineStr">
        <is>
          <t>FY2025</t>
        </is>
      </c>
      <c r="E8" s="6" t="inlineStr">
        <is>
          <t>LTM Jun-26</t>
        </is>
      </c>
    </row>
    <row r="9">
      <c r="A9" s="7" t="inlineStr">
        <is>
          <t>Total debt ($M)</t>
        </is>
      </c>
      <c r="B9" s="8">
        <f>Ratios!D12</f>
        <v/>
      </c>
      <c r="C9" s="8">
        <f>Ratios!E12</f>
        <v/>
      </c>
      <c r="D9" s="8">
        <f>Ratios!F12</f>
        <v/>
      </c>
      <c r="E9" s="8">
        <f>Ratios!G12</f>
        <v/>
      </c>
    </row>
    <row r="10">
      <c r="A10" s="7" t="inlineStr">
        <is>
          <t>Adjusted EBITDA ($M)</t>
        </is>
      </c>
      <c r="B10" s="8">
        <f>Ratios!D10</f>
        <v/>
      </c>
      <c r="C10" s="8">
        <f>Ratios!E10</f>
        <v/>
      </c>
      <c r="D10" s="8">
        <f>Ratios!F10</f>
        <v/>
      </c>
      <c r="E10" s="8">
        <f>Ratios!G10</f>
        <v/>
      </c>
    </row>
    <row r="11">
      <c r="A11" s="7" t="inlineStr">
        <is>
          <t>Gross leverage (adj.)</t>
        </is>
      </c>
      <c r="B11" s="9">
        <f>Ratios!D15</f>
        <v/>
      </c>
      <c r="C11" s="9">
        <f>Ratios!E15</f>
        <v/>
      </c>
      <c r="D11" s="9">
        <f>Ratios!F15</f>
        <v/>
      </c>
      <c r="E11" s="9">
        <f>Ratios!G15</f>
        <v/>
      </c>
    </row>
    <row r="12">
      <c r="A12" s="7" t="inlineStr">
        <is>
          <t>Net leverage (adj.)</t>
        </is>
      </c>
      <c r="B12" s="9">
        <f>Ratios!D17</f>
        <v/>
      </c>
      <c r="C12" s="9">
        <f>Ratios!E17</f>
        <v/>
      </c>
      <c r="D12" s="9">
        <f>Ratios!F17</f>
        <v/>
      </c>
      <c r="E12" s="9">
        <f>Ratios!G17</f>
        <v/>
      </c>
    </row>
    <row r="13">
      <c r="A13" s="7" t="inlineStr">
        <is>
          <t>Interest coverage (adj.)</t>
        </is>
      </c>
      <c r="B13" s="9">
        <f>Ratios!D18</f>
        <v/>
      </c>
      <c r="C13" s="9">
        <f>Ratios!E18</f>
        <v/>
      </c>
      <c r="D13" s="9">
        <f>Ratios!F18</f>
        <v/>
      </c>
      <c r="E13" s="9">
        <f>Ratios!G18</f>
        <v/>
      </c>
    </row>
    <row r="14">
      <c r="A14" s="7" t="inlineStr">
        <is>
          <t>FFO / Debt</t>
        </is>
      </c>
      <c r="B14" s="10">
        <f>Ratios!D21</f>
        <v/>
      </c>
      <c r="C14" s="10">
        <f>Ratios!E21</f>
        <v/>
      </c>
      <c r="D14" s="10">
        <f>Ratios!F21</f>
        <v/>
      </c>
      <c r="E14" s="10">
        <f>Ratios!G21</f>
        <v/>
      </c>
    </row>
    <row r="15">
      <c r="A15" s="7" t="inlineStr">
        <is>
          <t>FCF after dividends ($M)</t>
        </is>
      </c>
      <c r="B15" s="8">
        <f>Ratios!D22</f>
        <v/>
      </c>
      <c r="C15" s="8">
        <f>Ratios!E22</f>
        <v/>
      </c>
      <c r="D15" s="8">
        <f>Ratios!F22</f>
        <v/>
      </c>
      <c r="E15" s="8">
        <f>Ratios!G22</f>
        <v/>
      </c>
    </row>
    <row r="16">
      <c r="A16" s="7" t="inlineStr">
        <is>
          <t>Lease-adjusted leverage</t>
        </is>
      </c>
      <c r="B16" s="9">
        <f>Ratios!D25</f>
        <v/>
      </c>
      <c r="C16" s="9">
        <f>Ratios!E25</f>
        <v/>
      </c>
      <c r="D16" s="9">
        <f>Ratios!F25</f>
        <v/>
      </c>
      <c r="E16" s="9">
        <f>Ratios!G25</f>
        <v/>
      </c>
    </row>
    <row r="18">
      <c r="A18" s="5" t="inlineStr">
        <is>
          <t>Key facts (Jun 30, 2026 unless noted)</t>
        </is>
      </c>
    </row>
    <row r="19">
      <c r="A19" s="7" t="inlineStr">
        <is>
          <t>Total debt</t>
        </is>
      </c>
      <c r="B19" s="8">
        <f>Ratios!G12</f>
        <v/>
      </c>
      <c r="C19" s="2" t="inlineStr">
        <is>
          <t>down from $66,270M at Dec 31, 2024 (peak)</t>
        </is>
      </c>
    </row>
    <row r="20">
      <c r="A20" s="7" t="inlineStr">
        <is>
          <t>Cash</t>
        </is>
      </c>
      <c r="B20" s="8">
        <f>Ratios!G13</f>
        <v/>
      </c>
      <c r="C20" s="2" t="inlineStr">
        <is>
          <t>~$2,700M held at parent / non-restricted subsidiaries</t>
        </is>
      </c>
    </row>
    <row r="21">
      <c r="A21" s="7" t="inlineStr">
        <is>
          <t>Undrawn revolvers</t>
        </is>
      </c>
      <c r="B21" s="8">
        <f>Inputs!B51</f>
        <v/>
      </c>
      <c r="C21" s="2" t="inlineStr">
        <is>
          <t>3 x $2,500M back-up facilities, expire May 2029/30/31</t>
        </is>
      </c>
    </row>
    <row r="22">
      <c r="A22" s="7" t="inlineStr">
        <is>
          <t>2027 debt maturities (principal)</t>
        </is>
      </c>
      <c r="B22" s="8">
        <f>Inputs!B41</f>
        <v/>
      </c>
      <c r="C22" s="2" t="inlineStr">
        <is>
          <t>per Dec 31, 2025 maturity ladder</t>
        </is>
      </c>
    </row>
    <row r="23">
      <c r="A23" s="7" t="inlineStr">
        <is>
          <t>LTM revenues</t>
        </is>
      </c>
      <c r="B23" s="8">
        <f>Ratios!G5</f>
        <v/>
      </c>
    </row>
    <row r="24">
      <c r="A24" s="7" t="inlineStr">
        <is>
          <t>LTM FFO / Debt</t>
        </is>
      </c>
      <c r="B24" s="10">
        <f>Ratios!G21</f>
        <v/>
      </c>
    </row>
    <row r="26">
      <c r="A26" s="5" t="inlineStr">
        <is>
          <t>Verification</t>
        </is>
      </c>
    </row>
    <row r="27">
      <c r="A27" s="11" t="inlineStr">
        <is>
          <t>Model recalculated in LibreOffice headless after build; every Ratios value checked against an independent Python computation from data/inputs.json (see memo, Methodology &amp; Verification). Inputs tie to EDGAR company facts for CIK 0000064803 pulled 2026-10-20.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0" max="10"/>
  </cols>
  <sheetData>
    <row r="1">
      <c r="A1" s="12" t="inlineStr">
        <is>
          <t>CVS Health Corporation (NYSE: CVS) — Credit Model Inputs</t>
        </is>
      </c>
    </row>
    <row r="2">
      <c r="A2" s="2" t="inlineStr">
        <is>
          <t>All figures $ millions (shares in millions). Source: SEC EDGAR company facts, CIK 0000064803, pulled 2026-10-20 (see pull_data.py). Values as most recently reported in comparative 10-K / 10-Q filings.</t>
        </is>
      </c>
    </row>
    <row r="4">
      <c r="A4" s="13" t="inlineStr">
        <is>
          <t>Income statement &amp; cash flow</t>
        </is>
      </c>
      <c r="B4" s="14" t="inlineStr">
        <is>
          <t>FY2021</t>
        </is>
      </c>
      <c r="C4" s="14" t="inlineStr">
        <is>
          <t>FY2022</t>
        </is>
      </c>
      <c r="D4" s="14" t="inlineStr">
        <is>
          <t>FY2023</t>
        </is>
      </c>
      <c r="E4" s="14" t="inlineStr">
        <is>
          <t>FY2024</t>
        </is>
      </c>
      <c r="F4" s="14" t="inlineStr">
        <is>
          <t>FY2025</t>
        </is>
      </c>
      <c r="G4" s="14" t="inlineStr">
        <is>
          <t>H1 2025</t>
        </is>
      </c>
      <c r="H4" s="14" t="inlineStr">
        <is>
          <t>H1 2026</t>
        </is>
      </c>
    </row>
    <row r="5">
      <c r="A5" s="15" t="inlineStr">
        <is>
          <t>Revenues</t>
        </is>
      </c>
      <c r="B5" s="8" t="n">
        <v>292111</v>
      </c>
      <c r="C5" s="8" t="n">
        <v>322467</v>
      </c>
      <c r="D5" s="8" t="n">
        <v>357776</v>
      </c>
      <c r="E5" s="8" t="n">
        <v>372809</v>
      </c>
      <c r="F5" s="8" t="n">
        <v>402067</v>
      </c>
      <c r="G5" s="8" t="n">
        <v>193503</v>
      </c>
      <c r="H5" s="8" t="n">
        <v>206522</v>
      </c>
    </row>
    <row r="6">
      <c r="A6" s="15" t="inlineStr">
        <is>
          <t>Operating income (GAAP)</t>
        </is>
      </c>
      <c r="B6" s="8" t="n">
        <v>13310</v>
      </c>
      <c r="C6" s="8" t="n">
        <v>7954</v>
      </c>
      <c r="D6" s="8" t="n">
        <v>13743</v>
      </c>
      <c r="E6" s="8" t="n">
        <v>8516</v>
      </c>
      <c r="F6" s="8" t="n">
        <v>4660</v>
      </c>
      <c r="G6" s="8" t="n">
        <v>5755</v>
      </c>
      <c r="H6" s="8" t="n">
        <v>9383</v>
      </c>
    </row>
    <row r="7">
      <c r="A7" s="15" t="inlineStr">
        <is>
          <t>Depreciation &amp; amortization (cash flow statement)</t>
        </is>
      </c>
      <c r="B7" s="8" t="n">
        <v>4486</v>
      </c>
      <c r="C7" s="8" t="n">
        <v>4224</v>
      </c>
      <c r="D7" s="8" t="n">
        <v>4366</v>
      </c>
      <c r="E7" s="8" t="n">
        <v>4597</v>
      </c>
      <c r="F7" s="8" t="n">
        <v>4606</v>
      </c>
      <c r="G7" s="8" t="n">
        <v>2325</v>
      </c>
      <c r="H7" s="8" t="n">
        <v>2241</v>
      </c>
    </row>
    <row r="8">
      <c r="A8" s="15" t="inlineStr">
        <is>
          <t>Interest expense</t>
        </is>
      </c>
      <c r="B8" s="8" t="n">
        <v>2503</v>
      </c>
      <c r="C8" s="8" t="n">
        <v>2287</v>
      </c>
      <c r="D8" s="8" t="n">
        <v>2658</v>
      </c>
      <c r="E8" s="8" t="n">
        <v>2958</v>
      </c>
      <c r="F8" s="8" t="n">
        <v>3119</v>
      </c>
      <c r="G8" s="8" t="n">
        <v>1548</v>
      </c>
      <c r="H8" s="8" t="n">
        <v>1531</v>
      </c>
      <c r="J8" s="2" t="inlineStr">
        <is>
          <t>FY2021: InterestExpense tag; FY2022+: InterestExpenseNonoperating (identical in overlap years)</t>
        </is>
      </c>
    </row>
    <row r="9">
      <c r="A9" s="15" t="inlineStr">
        <is>
          <t>Net income attributable to CVS Health</t>
        </is>
      </c>
      <c r="B9" s="8" t="n">
        <v>8001</v>
      </c>
      <c r="C9" s="8" t="n">
        <v>4311</v>
      </c>
      <c r="D9" s="8" t="n">
        <v>8344</v>
      </c>
      <c r="E9" s="8" t="n">
        <v>4614</v>
      </c>
      <c r="F9" s="8" t="n">
        <v>1768</v>
      </c>
      <c r="G9" s="8" t="n">
        <v>2800</v>
      </c>
      <c r="H9" s="8" t="n">
        <v>5922</v>
      </c>
    </row>
    <row r="10">
      <c r="A10" s="15" t="inlineStr">
        <is>
          <t>Net cash provided by operating activities</t>
        </is>
      </c>
      <c r="B10" s="8" t="n">
        <v>18265</v>
      </c>
      <c r="C10" s="8" t="n">
        <v>16177</v>
      </c>
      <c r="D10" s="8" t="n">
        <v>13426</v>
      </c>
      <c r="E10" s="8" t="n">
        <v>9107</v>
      </c>
      <c r="F10" s="8" t="n">
        <v>10639</v>
      </c>
      <c r="G10" s="8" t="n">
        <v>6453</v>
      </c>
      <c r="H10" s="8" t="n">
        <v>10594</v>
      </c>
    </row>
    <row r="11">
      <c r="A11" s="15" t="inlineStr">
        <is>
          <t>Capital expenditures (payments to acquire PP&amp;E)</t>
        </is>
      </c>
      <c r="B11" s="8" t="n">
        <v>2520</v>
      </c>
      <c r="C11" s="8" t="n">
        <v>2727</v>
      </c>
      <c r="D11" s="8" t="n">
        <v>3031</v>
      </c>
      <c r="E11" s="8" t="n">
        <v>2781</v>
      </c>
      <c r="F11" s="8" t="n">
        <v>2832</v>
      </c>
      <c r="G11" s="8" t="n">
        <v>1350</v>
      </c>
      <c r="H11" s="8" t="n">
        <v>1540</v>
      </c>
    </row>
    <row r="12">
      <c r="A12" s="15" t="inlineStr">
        <is>
          <t>Dividends paid</t>
        </is>
      </c>
      <c r="B12" s="8" t="n">
        <v>2625</v>
      </c>
      <c r="C12" s="8" t="n">
        <v>2907</v>
      </c>
      <c r="D12" s="8" t="n">
        <v>3132</v>
      </c>
      <c r="E12" s="8" t="n">
        <v>3373</v>
      </c>
      <c r="F12" s="8" t="n">
        <v>3397</v>
      </c>
      <c r="G12" s="8" t="n">
        <v>1706</v>
      </c>
      <c r="H12" s="8" t="n">
        <v>1725</v>
      </c>
    </row>
    <row r="13">
      <c r="A13" s="15" t="inlineStr">
        <is>
          <t>Weighted avg diluted shares (millions)</t>
        </is>
      </c>
      <c r="B13" s="8" t="n">
        <v>1329</v>
      </c>
      <c r="C13" s="8" t="n">
        <v>1323</v>
      </c>
      <c r="D13" s="8" t="n">
        <v>1290</v>
      </c>
      <c r="E13" s="8" t="n">
        <v>1262</v>
      </c>
      <c r="F13" s="8" t="n">
        <v>1271</v>
      </c>
      <c r="G13" s="8" t="n">
        <v>1267</v>
      </c>
      <c r="H13" s="8" t="n">
        <v>1283</v>
      </c>
    </row>
    <row r="15">
      <c r="A15" s="13" t="inlineStr">
        <is>
          <t>Non-recurring adjustments added back to EBITDA</t>
        </is>
      </c>
      <c r="B15" s="14" t="inlineStr">
        <is>
          <t>FY2021</t>
        </is>
      </c>
      <c r="C15" s="14" t="inlineStr">
        <is>
          <t>FY2022</t>
        </is>
      </c>
      <c r="D15" s="14" t="inlineStr">
        <is>
          <t>FY2023</t>
        </is>
      </c>
      <c r="E15" s="14" t="inlineStr">
        <is>
          <t>FY2024</t>
        </is>
      </c>
      <c r="F15" s="14" t="inlineStr">
        <is>
          <t>FY2025</t>
        </is>
      </c>
      <c r="G15" s="14" t="inlineStr"/>
      <c r="H15" s="14" t="inlineStr"/>
      <c r="I15" s="14" t="inlineStr">
        <is>
          <t>LTM (Jul-25–Jun-26)</t>
        </is>
      </c>
    </row>
    <row r="16">
      <c r="A16" s="15" t="inlineStr">
        <is>
          <t>Goodwill impairment</t>
        </is>
      </c>
      <c r="B16" s="8" t="n">
        <v>431</v>
      </c>
      <c r="C16" s="8" t="n">
        <v>0</v>
      </c>
      <c r="D16" s="8" t="n">
        <v>0</v>
      </c>
      <c r="E16" s="8" t="n">
        <v>0</v>
      </c>
      <c r="F16" s="8" t="n">
        <v>5725</v>
      </c>
      <c r="G16" s="8" t="n"/>
      <c r="H16" s="8" t="n"/>
      <c r="I16" s="8" t="n">
        <v>5725</v>
      </c>
    </row>
    <row r="17">
      <c r="A17" s="15" t="inlineStr">
        <is>
          <t>Opioid litigation charges / accrual changes</t>
        </is>
      </c>
      <c r="B17" s="8" t="n">
        <v>0</v>
      </c>
      <c r="C17" s="8" t="n">
        <v>5803</v>
      </c>
      <c r="D17" s="8" t="n">
        <v>0</v>
      </c>
      <c r="E17" s="8" t="n">
        <v>100</v>
      </c>
      <c r="F17" s="8" t="n">
        <v>320</v>
      </c>
      <c r="G17" s="8" t="n"/>
      <c r="H17" s="8" t="n"/>
      <c r="I17" s="8" t="n">
        <v>320</v>
      </c>
    </row>
    <row r="18">
      <c r="A18" s="15" t="inlineStr">
        <is>
          <t>Legacy litigation charges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1220</v>
      </c>
      <c r="G18" s="8" t="n"/>
      <c r="H18" s="8" t="n"/>
      <c r="I18" s="8" t="n">
        <v>0</v>
      </c>
    </row>
    <row r="19">
      <c r="A19" s="15" t="inlineStr">
        <is>
          <t>Loss on assets held for sale</t>
        </is>
      </c>
      <c r="B19" s="8" t="n">
        <v>0</v>
      </c>
      <c r="C19" s="8" t="n">
        <v>2533</v>
      </c>
      <c r="D19" s="8" t="n">
        <v>349</v>
      </c>
      <c r="E19" s="8" t="n">
        <v>0</v>
      </c>
      <c r="F19" s="8" t="n">
        <v>0</v>
      </c>
      <c r="G19" s="8" t="n"/>
      <c r="H19" s="8" t="n"/>
      <c r="I19" s="8" t="n">
        <v>0</v>
      </c>
    </row>
    <row r="20">
      <c r="A20" s="15" t="inlineStr">
        <is>
          <t>Restructuring charges</t>
        </is>
      </c>
      <c r="B20" s="8" t="n">
        <v>0</v>
      </c>
      <c r="C20" s="8" t="n">
        <v>0</v>
      </c>
      <c r="D20" s="8" t="n">
        <v>507</v>
      </c>
      <c r="E20" s="8" t="n">
        <v>1179</v>
      </c>
      <c r="F20" s="8" t="n">
        <v>0</v>
      </c>
      <c r="G20" s="8" t="n"/>
      <c r="H20" s="8" t="n"/>
      <c r="I20" s="8" t="n">
        <v>0</v>
      </c>
    </row>
    <row r="21">
      <c r="A21" s="16" t="inlineStr">
        <is>
          <t>Total adjustments</t>
        </is>
      </c>
      <c r="B21" s="17">
        <f>SUM(B16:B20)</f>
        <v/>
      </c>
      <c r="C21" s="17">
        <f>SUM(C16:C20)</f>
        <v/>
      </c>
      <c r="D21" s="17">
        <f>SUM(D16:D20)</f>
        <v/>
      </c>
      <c r="E21" s="17">
        <f>SUM(E16:E20)</f>
        <v/>
      </c>
      <c r="F21" s="17">
        <f>SUM(F16:F20)</f>
        <v/>
      </c>
      <c r="I21" s="17">
        <f>SUM(I16:I20)</f>
        <v/>
      </c>
    </row>
    <row r="22">
      <c r="A22" s="2" t="inlineStr">
        <is>
          <t>LTM add-backs are only the items recorded inside Jul 2025–Jun 2026 (Q3 2025 goodwill impairment and opioid accrual charge). The $1,220M legacy litigation charges were recorded in H1 2025 and sit outside the LTM window.</t>
        </is>
      </c>
    </row>
    <row r="24">
      <c r="A24" s="13" t="inlineStr">
        <is>
          <t>Balance sheet (period-end)</t>
        </is>
      </c>
      <c r="B24" s="14" t="inlineStr">
        <is>
          <t>Dec 2021</t>
        </is>
      </c>
      <c r="C24" s="14" t="inlineStr">
        <is>
          <t>Dec 2022</t>
        </is>
      </c>
      <c r="D24" s="14" t="inlineStr">
        <is>
          <t>Dec 2023</t>
        </is>
      </c>
      <c r="E24" s="14" t="inlineStr">
        <is>
          <t>Dec 2024</t>
        </is>
      </c>
      <c r="F24" s="14" t="inlineStr">
        <is>
          <t>Dec 2025</t>
        </is>
      </c>
      <c r="G24" s="14" t="inlineStr">
        <is>
          <t>Jun 2026</t>
        </is>
      </c>
    </row>
    <row r="25">
      <c r="A25" s="15" t="inlineStr">
        <is>
          <t>Long-term debt, noncurrent</t>
        </is>
      </c>
      <c r="B25" s="8" t="n">
        <v>51971</v>
      </c>
      <c r="C25" s="8" t="n">
        <v>50476</v>
      </c>
      <c r="D25" s="8" t="n">
        <v>58638</v>
      </c>
      <c r="E25" s="8" t="n">
        <v>60527</v>
      </c>
      <c r="F25" s="8" t="n">
        <v>60502</v>
      </c>
      <c r="G25" s="8" t="n">
        <v>59452</v>
      </c>
    </row>
    <row r="26">
      <c r="A26" s="15" t="inlineStr">
        <is>
          <t>Current portion of long-term debt</t>
        </is>
      </c>
      <c r="B26" s="8" t="n">
        <v>4205</v>
      </c>
      <c r="C26" s="8" t="n">
        <v>1778</v>
      </c>
      <c r="D26" s="8" t="n">
        <v>2772</v>
      </c>
      <c r="E26" s="8" t="n">
        <v>3624</v>
      </c>
      <c r="F26" s="8" t="n">
        <v>4068</v>
      </c>
      <c r="G26" s="8" t="n">
        <v>1958</v>
      </c>
    </row>
    <row r="27">
      <c r="A27" s="15" t="inlineStr">
        <is>
          <t>Short-term borrowings (commercial paper)</t>
        </is>
      </c>
      <c r="B27" s="8" t="n">
        <v>0</v>
      </c>
      <c r="C27" s="8" t="n">
        <v>0</v>
      </c>
      <c r="D27" s="8" t="n">
        <v>200</v>
      </c>
      <c r="E27" s="8" t="n">
        <v>2119</v>
      </c>
      <c r="F27" s="8" t="n">
        <v>0</v>
      </c>
      <c r="G27" s="8" t="n">
        <v>0</v>
      </c>
    </row>
    <row r="28">
      <c r="A28" s="16" t="inlineStr">
        <is>
          <t>Total debt (carrying value)</t>
        </is>
      </c>
      <c r="B28" s="17">
        <f>SUM(B25:B27)</f>
        <v/>
      </c>
      <c r="C28" s="17">
        <f>SUM(C25:C27)</f>
        <v/>
      </c>
      <c r="D28" s="17">
        <f>SUM(D25:D27)</f>
        <v/>
      </c>
      <c r="E28" s="17">
        <f>SUM(E25:E27)</f>
        <v/>
      </c>
      <c r="F28" s="17">
        <f>SUM(F25:F27)</f>
        <v/>
      </c>
      <c r="G28" s="17">
        <f>SUM(G25:G27)</f>
        <v/>
      </c>
    </row>
    <row r="29">
      <c r="A29" s="15" t="inlineStr">
        <is>
          <t>Cash and cash equivalents</t>
        </is>
      </c>
      <c r="B29" s="8" t="n">
        <v>9408</v>
      </c>
      <c r="C29" s="8" t="n">
        <v>12945</v>
      </c>
      <c r="D29" s="8" t="n">
        <v>8196</v>
      </c>
      <c r="E29" s="8" t="n">
        <v>8586</v>
      </c>
      <c r="F29" s="8" t="n">
        <v>8453</v>
      </c>
      <c r="G29" s="8" t="n">
        <v>11329</v>
      </c>
    </row>
    <row r="30">
      <c r="A30" s="16" t="inlineStr">
        <is>
          <t>Net debt</t>
        </is>
      </c>
      <c r="B30" s="17">
        <f>B28-B29</f>
        <v/>
      </c>
      <c r="C30" s="17">
        <f>C28-C29</f>
        <v/>
      </c>
      <c r="D30" s="17">
        <f>D28-D29</f>
        <v/>
      </c>
      <c r="E30" s="17">
        <f>E28-E29</f>
        <v/>
      </c>
      <c r="F30" s="17">
        <f>F28-F29</f>
        <v/>
      </c>
      <c r="G30" s="17">
        <f>G28-G29</f>
        <v/>
      </c>
    </row>
    <row r="31">
      <c r="A31" s="15" t="inlineStr">
        <is>
          <t>Operating lease liabilities, current</t>
        </is>
      </c>
      <c r="B31" s="8" t="n">
        <v>1646</v>
      </c>
      <c r="C31" s="8" t="n">
        <v>1678</v>
      </c>
      <c r="D31" s="8" t="n">
        <v>1741</v>
      </c>
      <c r="E31" s="8" t="n">
        <v>1751</v>
      </c>
      <c r="F31" s="8" t="n">
        <v>1737</v>
      </c>
      <c r="G31" s="8" t="n">
        <v>1914</v>
      </c>
    </row>
    <row r="32">
      <c r="A32" s="15" t="inlineStr">
        <is>
          <t>Operating lease liabilities, noncurrent</t>
        </is>
      </c>
      <c r="B32" s="8" t="n">
        <v>18177</v>
      </c>
      <c r="C32" s="8" t="n">
        <v>16800</v>
      </c>
      <c r="D32" s="8" t="n">
        <v>16034</v>
      </c>
      <c r="E32" s="8" t="n">
        <v>14899</v>
      </c>
      <c r="F32" s="8" t="n">
        <v>13643</v>
      </c>
      <c r="G32" s="8" t="n">
        <v>12982</v>
      </c>
    </row>
    <row r="33">
      <c r="A33" s="15" t="inlineStr">
        <is>
          <t>Finance lease liabilities, current</t>
        </is>
      </c>
      <c r="B33" s="8" t="n">
        <v>50</v>
      </c>
      <c r="C33" s="8" t="n">
        <v>59</v>
      </c>
      <c r="D33" s="8" t="n">
        <v>66</v>
      </c>
      <c r="E33" s="8" t="n">
        <v>65</v>
      </c>
      <c r="F33" s="8" t="n">
        <v>61</v>
      </c>
      <c r="G33" s="8" t="n">
        <v>61</v>
      </c>
      <c r="J33" s="2" t="inlineStr">
        <is>
          <t>Jun-2026 column carries Dec-2025 values: finance leases are not broken out in the Q2 2026 condensed balance sheet</t>
        </is>
      </c>
    </row>
    <row r="34">
      <c r="A34" s="15" t="inlineStr">
        <is>
          <t>Finance lease liabilities, noncurrent</t>
        </is>
      </c>
      <c r="B34" s="8" t="n">
        <v>1250</v>
      </c>
      <c r="C34" s="8" t="n">
        <v>1406</v>
      </c>
      <c r="D34" s="8" t="n">
        <v>1325</v>
      </c>
      <c r="E34" s="8" t="n">
        <v>1295</v>
      </c>
      <c r="F34" s="8" t="n">
        <v>1265</v>
      </c>
      <c r="G34" s="8" t="n">
        <v>1265</v>
      </c>
    </row>
    <row r="35">
      <c r="A35" s="15" t="inlineStr">
        <is>
          <t>Total assets</t>
        </is>
      </c>
      <c r="B35" s="8" t="n">
        <v>232999</v>
      </c>
      <c r="C35" s="8" t="n">
        <v>228275</v>
      </c>
      <c r="D35" s="8" t="n">
        <v>249728</v>
      </c>
      <c r="E35" s="8" t="n">
        <v>253215</v>
      </c>
      <c r="F35" s="8" t="n">
        <v>253538</v>
      </c>
      <c r="G35" s="8" t="n">
        <v>253768</v>
      </c>
    </row>
    <row r="36">
      <c r="A36" s="15" t="inlineStr">
        <is>
          <t>Total shareholders' equity</t>
        </is>
      </c>
      <c r="B36" s="8" t="n">
        <v>75075</v>
      </c>
      <c r="C36" s="8" t="n">
        <v>71469</v>
      </c>
      <c r="D36" s="8" t="n">
        <v>76461</v>
      </c>
      <c r="E36" s="8" t="n">
        <v>75560</v>
      </c>
      <c r="F36" s="8" t="n">
        <v>75214</v>
      </c>
      <c r="G36" s="8" t="n">
        <v>79702</v>
      </c>
    </row>
    <row r="37">
      <c r="A37" s="15" t="inlineStr">
        <is>
          <t>Common shares outstanding (millions)</t>
        </is>
      </c>
      <c r="B37" s="8" t="n">
        <v>1322</v>
      </c>
      <c r="C37" s="8" t="n">
        <v>1300</v>
      </c>
      <c r="D37" s="8" t="n">
        <v>1288</v>
      </c>
      <c r="E37" s="8" t="n">
        <v>1260</v>
      </c>
      <c r="F37" s="8" t="n">
        <v>1271</v>
      </c>
      <c r="G37" s="8" t="n">
        <v>1278</v>
      </c>
    </row>
    <row r="39">
      <c r="A39" s="13" t="inlineStr">
        <is>
          <t>Debt maturity ladder — principal at Dec 31, 2025 (FY2025 10-K, borrowings note)</t>
        </is>
      </c>
      <c r="B39" s="14" t="inlineStr">
        <is>
          <t>Principal $M</t>
        </is>
      </c>
    </row>
    <row r="40">
      <c r="A40" s="15" t="inlineStr">
        <is>
          <t>2026</t>
        </is>
      </c>
      <c r="B40" s="8" t="n">
        <v>4007</v>
      </c>
    </row>
    <row r="41">
      <c r="A41" s="15" t="inlineStr">
        <is>
          <t>2027</t>
        </is>
      </c>
      <c r="B41" s="8" t="n">
        <v>3379</v>
      </c>
    </row>
    <row r="42">
      <c r="A42" s="15" t="inlineStr">
        <is>
          <t>2028</t>
        </is>
      </c>
      <c r="B42" s="8" t="n">
        <v>5008</v>
      </c>
    </row>
    <row r="43">
      <c r="A43" s="15" t="inlineStr">
        <is>
          <t>2029</t>
        </is>
      </c>
      <c r="B43" s="8" t="n">
        <v>3758</v>
      </c>
    </row>
    <row r="44">
      <c r="A44" s="15" t="inlineStr">
        <is>
          <t>2030</t>
        </is>
      </c>
      <c r="B44" s="8" t="n">
        <v>4258</v>
      </c>
    </row>
    <row r="45">
      <c r="A45" s="15" t="inlineStr">
        <is>
          <t>Thereafter</t>
        </is>
      </c>
      <c r="B45" s="8" t="n">
        <v>43299</v>
      </c>
    </row>
    <row r="46">
      <c r="A46" s="16" t="inlineStr">
        <is>
          <t>Subtotal — long-term debt principal</t>
        </is>
      </c>
      <c r="B46" s="17">
        <f>SUM(B40:B45)</f>
        <v/>
      </c>
    </row>
    <row r="47">
      <c r="A47" t="inlineStr">
        <is>
          <t>Add: finance lease liabilities</t>
        </is>
      </c>
      <c r="B47" s="8">
        <f>F33+F34</f>
        <v/>
      </c>
    </row>
    <row r="48">
      <c r="A48" s="16" t="inlineStr">
        <is>
          <t>Total debt principal incl. finance leases</t>
        </is>
      </c>
      <c r="B48" s="17">
        <f>B46+B47</f>
        <v/>
      </c>
    </row>
    <row r="50">
      <c r="A50" s="13" t="inlineStr">
        <is>
          <t>Liquidity facilities (per borrowings notes)</t>
        </is>
      </c>
      <c r="B50" s="14" t="inlineStr">
        <is>
          <t>Amount $M</t>
        </is>
      </c>
    </row>
    <row r="51">
      <c r="A51" s="15" t="inlineStr">
        <is>
          <t>Back-up revolving credit facilities (3 x $2,500M), undrawn</t>
        </is>
      </c>
      <c r="B51" s="8" t="n">
        <v>7500</v>
      </c>
      <c r="J51" s="2" t="inlineStr">
        <is>
          <t>Expire May 2029 / 2030 / 2031 per Q2 2026 10-Q (May 2028 / 2029 / 2030 at Dec 2025)</t>
        </is>
      </c>
    </row>
    <row r="52">
      <c r="A52" s="15" t="inlineStr">
        <is>
          <t>Commercial paper outstanding, Jun 30, 2026</t>
        </is>
      </c>
      <c r="B52" s="8" t="n">
        <v>0</v>
      </c>
      <c r="J52" s="2" t="inlineStr">
        <is>
          <t>None outstanding at Jun 30, 2026 or Dec 31, 2025 (10-Q / 10-K)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62" customWidth="1" min="9" max="9"/>
  </cols>
  <sheetData>
    <row r="1">
      <c r="A1" s="12" t="inlineStr">
        <is>
          <t>CVS Health — Ratio Analysis (all cells are live formulas from Inputs)</t>
        </is>
      </c>
    </row>
    <row r="2">
      <c r="A2" s="2" t="inlineStr">
        <is>
          <t>LTM = twelve months ended Jun 30, 2026: FY2025 less H1 2025 plus H1 2026; balance-sheet items at Jun 30, 2026. $ millions unless noted.</t>
        </is>
      </c>
    </row>
    <row r="4">
      <c r="A4" s="6" t="inlineStr"/>
      <c r="B4" s="6" t="inlineStr">
        <is>
          <t>FY2021</t>
        </is>
      </c>
      <c r="C4" s="6" t="inlineStr">
        <is>
          <t>FY2022</t>
        </is>
      </c>
      <c r="D4" s="6" t="inlineStr">
        <is>
          <t>FY2023</t>
        </is>
      </c>
      <c r="E4" s="6" t="inlineStr">
        <is>
          <t>FY2024</t>
        </is>
      </c>
      <c r="F4" s="6" t="inlineStr">
        <is>
          <t>FY2025</t>
        </is>
      </c>
      <c r="G4" s="6" t="inlineStr">
        <is>
          <t>LTM</t>
        </is>
      </c>
    </row>
    <row r="5">
      <c r="A5" s="15" t="inlineStr">
        <is>
          <t>Revenues</t>
        </is>
      </c>
      <c r="B5" s="8">
        <f>Inputs!B5</f>
        <v/>
      </c>
      <c r="C5" s="8">
        <f>Inputs!C5</f>
        <v/>
      </c>
      <c r="D5" s="8">
        <f>Inputs!D5</f>
        <v/>
      </c>
      <c r="E5" s="8">
        <f>Inputs!E5</f>
        <v/>
      </c>
      <c r="F5" s="8">
        <f>Inputs!F5</f>
        <v/>
      </c>
      <c r="G5" s="8">
        <f>Inputs!F5-Inputs!G5+Inputs!H5</f>
        <v/>
      </c>
    </row>
    <row r="6">
      <c r="A6" s="15" t="inlineStr">
        <is>
          <t>Operating income (GAAP)</t>
        </is>
      </c>
      <c r="B6" s="8">
        <f>Inputs!B6</f>
        <v/>
      </c>
      <c r="C6" s="8">
        <f>Inputs!C6</f>
        <v/>
      </c>
      <c r="D6" s="8">
        <f>Inputs!D6</f>
        <v/>
      </c>
      <c r="E6" s="8">
        <f>Inputs!E6</f>
        <v/>
      </c>
      <c r="F6" s="8">
        <f>Inputs!F6</f>
        <v/>
      </c>
      <c r="G6" s="8">
        <f>Inputs!F6-Inputs!G6+Inputs!H6</f>
        <v/>
      </c>
    </row>
    <row r="7">
      <c r="A7" s="15" t="inlineStr">
        <is>
          <t>Plus: depreciation &amp; amortization</t>
        </is>
      </c>
      <c r="B7" s="8">
        <f>Inputs!B7</f>
        <v/>
      </c>
      <c r="C7" s="8">
        <f>Inputs!C7</f>
        <v/>
      </c>
      <c r="D7" s="8">
        <f>Inputs!D7</f>
        <v/>
      </c>
      <c r="E7" s="8">
        <f>Inputs!E7</f>
        <v/>
      </c>
      <c r="F7" s="8">
        <f>Inputs!F7</f>
        <v/>
      </c>
      <c r="G7" s="8">
        <f>Inputs!F7-Inputs!G7+Inputs!H7</f>
        <v/>
      </c>
    </row>
    <row r="8">
      <c r="A8" s="16" t="inlineStr">
        <is>
          <t>Reported EBITDA</t>
        </is>
      </c>
      <c r="B8" s="17">
        <f>B6+B7</f>
        <v/>
      </c>
      <c r="C8" s="17">
        <f>C6+C7</f>
        <v/>
      </c>
      <c r="D8" s="17">
        <f>D6+D7</f>
        <v/>
      </c>
      <c r="E8" s="17">
        <f>E6+E7</f>
        <v/>
      </c>
      <c r="F8" s="17">
        <f>F6+F7</f>
        <v/>
      </c>
      <c r="G8" s="17">
        <f>G6+G7</f>
        <v/>
      </c>
    </row>
    <row r="9">
      <c r="A9" s="15" t="inlineStr">
        <is>
          <t>Plus: non-recurring adjustments (Inputs)</t>
        </is>
      </c>
      <c r="B9" s="8">
        <f>Inputs!B21</f>
        <v/>
      </c>
      <c r="C9" s="8">
        <f>Inputs!C21</f>
        <v/>
      </c>
      <c r="D9" s="8">
        <f>Inputs!D21</f>
        <v/>
      </c>
      <c r="E9" s="8">
        <f>Inputs!E21</f>
        <v/>
      </c>
      <c r="F9" s="8">
        <f>Inputs!F21</f>
        <v/>
      </c>
      <c r="G9" s="8">
        <f>Inputs!I21</f>
        <v/>
      </c>
    </row>
    <row r="10">
      <c r="A10" s="16" t="inlineStr">
        <is>
          <t>Adjusted EBITDA</t>
        </is>
      </c>
      <c r="B10" s="17">
        <f>B8+B9</f>
        <v/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</row>
    <row r="11">
      <c r="A11" s="15" t="inlineStr">
        <is>
          <t>Interest expense</t>
        </is>
      </c>
      <c r="B11" s="8">
        <f>Inputs!B8</f>
        <v/>
      </c>
      <c r="C11" s="8">
        <f>Inputs!C8</f>
        <v/>
      </c>
      <c r="D11" s="8">
        <f>Inputs!D8</f>
        <v/>
      </c>
      <c r="E11" s="8">
        <f>Inputs!E8</f>
        <v/>
      </c>
      <c r="F11" s="8">
        <f>Inputs!F8</f>
        <v/>
      </c>
      <c r="G11" s="8">
        <f>Inputs!F8-Inputs!G8+Inputs!H8</f>
        <v/>
      </c>
    </row>
    <row r="12">
      <c r="A12" s="15" t="inlineStr">
        <is>
          <t>Total debt</t>
        </is>
      </c>
      <c r="B12" s="8">
        <f>Inputs!B28</f>
        <v/>
      </c>
      <c r="C12" s="8">
        <f>Inputs!C28</f>
        <v/>
      </c>
      <c r="D12" s="8">
        <f>Inputs!D28</f>
        <v/>
      </c>
      <c r="E12" s="8">
        <f>Inputs!E28</f>
        <v/>
      </c>
      <c r="F12" s="8">
        <f>Inputs!F28</f>
        <v/>
      </c>
      <c r="G12" s="8">
        <f>Inputs!G28</f>
        <v/>
      </c>
    </row>
    <row r="13">
      <c r="A13" s="15" t="inlineStr">
        <is>
          <t>Cash and cash equivalents</t>
        </is>
      </c>
      <c r="B13" s="8">
        <f>Inputs!B29</f>
        <v/>
      </c>
      <c r="C13" s="8">
        <f>Inputs!C29</f>
        <v/>
      </c>
      <c r="D13" s="8">
        <f>Inputs!D29</f>
        <v/>
      </c>
      <c r="E13" s="8">
        <f>Inputs!E29</f>
        <v/>
      </c>
      <c r="F13" s="8">
        <f>Inputs!F29</f>
        <v/>
      </c>
      <c r="G13" s="8">
        <f>Inputs!G29</f>
        <v/>
      </c>
    </row>
    <row r="14">
      <c r="A14" s="16" t="inlineStr">
        <is>
          <t>Net debt</t>
        </is>
      </c>
      <c r="B14" s="17">
        <f>B12-B13</f>
        <v/>
      </c>
      <c r="C14" s="17">
        <f>C12-C13</f>
        <v/>
      </c>
      <c r="D14" s="17">
        <f>D12-D13</f>
        <v/>
      </c>
      <c r="E14" s="17">
        <f>E12-E13</f>
        <v/>
      </c>
      <c r="F14" s="17">
        <f>F12-F13</f>
        <v/>
      </c>
      <c r="G14" s="17">
        <f>G12-G13</f>
        <v/>
      </c>
    </row>
    <row r="15">
      <c r="A15" s="18" t="inlineStr">
        <is>
          <t>Gross leverage — Debt / Adjusted EBITDA</t>
        </is>
      </c>
      <c r="B15" s="19">
        <f>B12/B10</f>
        <v/>
      </c>
      <c r="C15" s="19">
        <f>C12/C10</f>
        <v/>
      </c>
      <c r="D15" s="19">
        <f>D12/D10</f>
        <v/>
      </c>
      <c r="E15" s="19">
        <f>E12/E10</f>
        <v/>
      </c>
      <c r="F15" s="19">
        <f>F12/F10</f>
        <v/>
      </c>
      <c r="G15" s="19">
        <f>G12/G10</f>
        <v/>
      </c>
    </row>
    <row r="16">
      <c r="A16" s="15" t="inlineStr">
        <is>
          <t>Gross leverage — Debt / Reported EBITDA</t>
        </is>
      </c>
      <c r="B16" s="9">
        <f>B12/B8</f>
        <v/>
      </c>
      <c r="C16" s="9">
        <f>C12/C8</f>
        <v/>
      </c>
      <c r="D16" s="9">
        <f>D12/D8</f>
        <v/>
      </c>
      <c r="E16" s="9">
        <f>E12/E8</f>
        <v/>
      </c>
      <c r="F16" s="9">
        <f>F12/F8</f>
        <v/>
      </c>
      <c r="G16" s="9">
        <f>G12/G8</f>
        <v/>
      </c>
    </row>
    <row r="17">
      <c r="A17" s="18" t="inlineStr">
        <is>
          <t>Net leverage — Net debt / Adjusted EBITDA</t>
        </is>
      </c>
      <c r="B17" s="19">
        <f>B14/B10</f>
        <v/>
      </c>
      <c r="C17" s="19">
        <f>C14/C10</f>
        <v/>
      </c>
      <c r="D17" s="19">
        <f>D14/D10</f>
        <v/>
      </c>
      <c r="E17" s="19">
        <f>E14/E10</f>
        <v/>
      </c>
      <c r="F17" s="19">
        <f>F14/F10</f>
        <v/>
      </c>
      <c r="G17" s="19">
        <f>G14/G10</f>
        <v/>
      </c>
    </row>
    <row r="18">
      <c r="A18" s="18" t="inlineStr">
        <is>
          <t>Interest coverage — Adjusted EBITDA / Interest</t>
        </is>
      </c>
      <c r="B18" s="19">
        <f>B10/B11</f>
        <v/>
      </c>
      <c r="C18" s="19">
        <f>C10/C11</f>
        <v/>
      </c>
      <c r="D18" s="19">
        <f>D10/D11</f>
        <v/>
      </c>
      <c r="E18" s="19">
        <f>E10/E11</f>
        <v/>
      </c>
      <c r="F18" s="19">
        <f>F10/F11</f>
        <v/>
      </c>
      <c r="G18" s="19">
        <f>G10/G11</f>
        <v/>
      </c>
    </row>
    <row r="19">
      <c r="A19" s="15" t="inlineStr">
        <is>
          <t>Interest coverage — Reported EBITDA / Interest</t>
        </is>
      </c>
      <c r="B19" s="9">
        <f>B8/B11</f>
        <v/>
      </c>
      <c r="C19" s="9">
        <f>C8/C11</f>
        <v/>
      </c>
      <c r="D19" s="9">
        <f>D8/D11</f>
        <v/>
      </c>
      <c r="E19" s="9">
        <f>E8/E11</f>
        <v/>
      </c>
      <c r="F19" s="9">
        <f>F8/F11</f>
        <v/>
      </c>
      <c r="G19" s="9">
        <f>G8/G11</f>
        <v/>
      </c>
    </row>
    <row r="20">
      <c r="A20" s="15" t="inlineStr">
        <is>
          <t>FFO (approx.) — net income + D&amp;A + goodwill impairment</t>
        </is>
      </c>
      <c r="B20" s="8">
        <f>Inputs!B9+Inputs!B7+Inputs!B16</f>
        <v/>
      </c>
      <c r="C20" s="8">
        <f>Inputs!C9+Inputs!C7+Inputs!C16</f>
        <v/>
      </c>
      <c r="D20" s="8">
        <f>Inputs!D9+Inputs!D7+Inputs!D16</f>
        <v/>
      </c>
      <c r="E20" s="8">
        <f>Inputs!E9+Inputs!E7+Inputs!E16</f>
        <v/>
      </c>
      <c r="F20" s="8">
        <f>Inputs!F9+Inputs!F7+Inputs!F16</f>
        <v/>
      </c>
      <c r="G20" s="8">
        <f>Inputs!F9-Inputs!G9+Inputs!H9+Inputs!F7-Inputs!G7+Inputs!H7+Inputs!I16</f>
        <v/>
      </c>
      <c r="I20" s="2" t="inlineStr">
        <is>
          <t>Stated approximation: excludes deferred taxes, stock comp and other non-cash items</t>
        </is>
      </c>
    </row>
    <row r="21">
      <c r="A21" s="18" t="inlineStr">
        <is>
          <t>FFO / Debt</t>
        </is>
      </c>
      <c r="B21" s="20">
        <f>B20/B12</f>
        <v/>
      </c>
      <c r="C21" s="20">
        <f>C20/C12</f>
        <v/>
      </c>
      <c r="D21" s="20">
        <f>D20/D12</f>
        <v/>
      </c>
      <c r="E21" s="20">
        <f>E20/E12</f>
        <v/>
      </c>
      <c r="F21" s="20">
        <f>F20/F12</f>
        <v/>
      </c>
      <c r="G21" s="20">
        <f>G20/G12</f>
        <v/>
      </c>
    </row>
    <row r="22">
      <c r="A22" s="15" t="inlineStr">
        <is>
          <t>FCF after dividends — OCF − capex − dividends paid</t>
        </is>
      </c>
      <c r="B22" s="8">
        <f>Inputs!B10-(Inputs!B11)-(Inputs!B12)</f>
        <v/>
      </c>
      <c r="C22" s="8">
        <f>Inputs!C10-(Inputs!C11)-(Inputs!C12)</f>
        <v/>
      </c>
      <c r="D22" s="8">
        <f>Inputs!D10-(Inputs!D11)-(Inputs!D12)</f>
        <v/>
      </c>
      <c r="E22" s="8">
        <f>Inputs!E10-(Inputs!E11)-(Inputs!E12)</f>
        <v/>
      </c>
      <c r="F22" s="8">
        <f>Inputs!F10-(Inputs!F11)-(Inputs!F12)</f>
        <v/>
      </c>
      <c r="G22" s="8">
        <f>Inputs!F10-Inputs!G10+Inputs!H10-(Inputs!F11-Inputs!G11+Inputs!H11)-(Inputs!F12-Inputs!G12+Inputs!H12)</f>
        <v/>
      </c>
    </row>
    <row r="23">
      <c r="A23" s="15" t="inlineStr">
        <is>
          <t>FCF after dividends / Debt</t>
        </is>
      </c>
      <c r="B23" s="10">
        <f>B22/B12</f>
        <v/>
      </c>
      <c r="C23" s="10">
        <f>C22/C12</f>
        <v/>
      </c>
      <c r="D23" s="10">
        <f>D22/D12</f>
        <v/>
      </c>
      <c r="E23" s="10">
        <f>E22/E12</f>
        <v/>
      </c>
      <c r="F23" s="10">
        <f>F22/F12</f>
        <v/>
      </c>
      <c r="G23" s="10">
        <f>G22/G12</f>
        <v/>
      </c>
    </row>
    <row r="24">
      <c r="A24" s="15" t="inlineStr">
        <is>
          <t>Lease-adjusted debt — debt + operating + finance lease liabilities</t>
        </is>
      </c>
      <c r="B24" s="8">
        <f>B12+Inputs!B31+Inputs!B32+Inputs!B33+Inputs!B34</f>
        <v/>
      </c>
      <c r="C24" s="8">
        <f>C12+Inputs!C31+Inputs!C32+Inputs!C33+Inputs!C34</f>
        <v/>
      </c>
      <c r="D24" s="8">
        <f>D12+Inputs!D31+Inputs!D32+Inputs!D33+Inputs!D34</f>
        <v/>
      </c>
      <c r="E24" s="8">
        <f>E12+Inputs!E31+Inputs!E32+Inputs!E33+Inputs!E34</f>
        <v/>
      </c>
      <c r="F24" s="8">
        <f>F12+Inputs!F31+Inputs!F32+Inputs!F33+Inputs!F34</f>
        <v/>
      </c>
      <c r="G24" s="8">
        <f>G12+Inputs!G31+Inputs!G32+Inputs!G33+Inputs!G34</f>
        <v/>
      </c>
    </row>
    <row r="25">
      <c r="A25" s="15" t="inlineStr">
        <is>
          <t>Lease-adjusted leverage — Lease-adj. debt / Adjusted EBITDA</t>
        </is>
      </c>
      <c r="B25" s="9">
        <f>B24/B10</f>
        <v/>
      </c>
      <c r="C25" s="9">
        <f>C24/C10</f>
        <v/>
      </c>
      <c r="D25" s="9">
        <f>D24/D10</f>
        <v/>
      </c>
      <c r="E25" s="9">
        <f>E24/E10</f>
        <v/>
      </c>
      <c r="F25" s="9">
        <f>F24/F10</f>
        <v/>
      </c>
      <c r="G25" s="9">
        <f>G24/G10</f>
        <v/>
      </c>
    </row>
    <row r="26">
      <c r="A26" s="15" t="inlineStr">
        <is>
          <t>Adjusted EBITDA margin</t>
        </is>
      </c>
      <c r="B26" s="10">
        <f>B10/B5</f>
        <v/>
      </c>
      <c r="C26" s="10">
        <f>C10/C5</f>
        <v/>
      </c>
      <c r="D26" s="10">
        <f>D10/D5</f>
        <v/>
      </c>
      <c r="E26" s="10">
        <f>E10/E5</f>
        <v/>
      </c>
      <c r="F26" s="10">
        <f>F10/F5</f>
        <v/>
      </c>
      <c r="G26" s="10">
        <f>G10/G5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2026-10-20T12:53:19+00:00Z</dcterms:created>
  <dcterms:modified xmlns:dcterms="http://purl.org/dc/terms/" xmlns:xsi="http://www.w3.org/2001/XMLSchema-instance" xsi:type="dcterms:W3CDTF">2026-10-20T12:53:19+00:00Z</dcterms:modified>
</cp:coreProperties>
</file>